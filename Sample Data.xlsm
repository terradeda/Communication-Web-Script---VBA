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05" windowWidth="28755" windowHeight="12585"/>
  </bookViews>
  <sheets>
    <sheet name="Col-Rep Assoc" sheetId="38" r:id="rId1"/>
    <sheet name="Repeaters" sheetId="37" r:id="rId2"/>
    <sheet name="Collectors" sheetId="36" r:id="rId3"/>
  </sheets>
  <functionGroups/>
  <definedNames>
    <definedName name="ExternalData_1" localSheetId="2">Collectors!$A$1:$J$4</definedName>
    <definedName name="ExternalData_1" localSheetId="0">'Col-Rep Assoc'!$A$1:$J$20</definedName>
    <definedName name="ExternalData_1" localSheetId="1">Repeaters!$A$1:$I$10</definedName>
  </definedNames>
  <calcPr calcId="125725"/>
</workbook>
</file>

<file path=xl/calcChain.xml><?xml version="1.0" encoding="utf-8"?>
<calcChain xmlns="http://schemas.openxmlformats.org/spreadsheetml/2006/main">
  <c r="D16" i="38"/>
  <c r="D15"/>
  <c r="D3"/>
  <c r="D4"/>
  <c r="D5"/>
  <c r="D6"/>
  <c r="D7"/>
  <c r="D8"/>
  <c r="D9"/>
  <c r="D10"/>
  <c r="D11"/>
  <c r="D12"/>
  <c r="D13"/>
  <c r="D14"/>
  <c r="D17"/>
  <c r="D18"/>
  <c r="D2"/>
  <c r="G12" i="37"/>
  <c r="F12"/>
  <c r="G11"/>
  <c r="F11"/>
</calcChain>
</file>

<file path=xl/connections.xml><?xml version="1.0" encoding="utf-8"?>
<connections xmlns="http://schemas.openxmlformats.org/spreadsheetml/2006/main">
  <connection id="1" name="Collectors" type="6" refreshedVersion="3" background="1" saveData="1">
    <textPr prompt="0" codePage="437" sourceFile="C:\Users\terradeda\Desktop\Management List Stuff\script\Collectors.csv" tab="0" comma="1">
      <textFields>
        <textField/>
      </textFields>
    </textPr>
  </connection>
  <connection id="2" name="repeaterCollectorAssociation table2" type="6" refreshedVersion="3" background="1" saveData="1">
    <textPr prompt="0" codePage="437" sourceFile="C:\Users\terradeda\Desktop\Management List Stuff\script\repeaterCollectorAssociation table2.csv" tab="0" comma="1">
      <textFields>
        <textField/>
      </textFields>
    </textPr>
  </connection>
  <connection id="3" name="Repeaters2" type="6" refreshedVersion="3" background="1" saveData="1">
    <textPr prompt="0" codePage="437" sourceFile="C:\Users\terradeda\Desktop\Management List Stuff\script\Repeaters2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<sst xmlns="http://schemas.openxmlformats.org/spreadsheetml/2006/main" count="63" uniqueCount="32">
  <si>
    <t>Rank</t>
  </si>
  <si>
    <t>Latitude</t>
  </si>
  <si>
    <t>Longitude</t>
  </si>
  <si>
    <t>Active</t>
  </si>
  <si>
    <t>RepeaterId</t>
  </si>
  <si>
    <t>ItronRepeaterID</t>
  </si>
  <si>
    <t>DailyActual</t>
  </si>
  <si>
    <t>DailyManaged</t>
  </si>
  <si>
    <t>NumTSErrEP</t>
  </si>
  <si>
    <t>RefDateTime</t>
  </si>
  <si>
    <t>ITronCollectorId</t>
  </si>
  <si>
    <t>ITronRepeaterId</t>
  </si>
  <si>
    <t>DailyMaxRSSI</t>
  </si>
  <si>
    <t>DailyAvgRSSI</t>
  </si>
  <si>
    <t>ReadCoeffBitmap</t>
  </si>
  <si>
    <t>NumMessages</t>
  </si>
  <si>
    <t>ReportList</t>
  </si>
  <si>
    <t>ManagementList</t>
  </si>
  <si>
    <t>2015-Aug-19</t>
  </si>
  <si>
    <t>recordDateTime</t>
  </si>
  <si>
    <t>2015-Aug-20 12:02:55 PM</t>
  </si>
  <si>
    <t>2015-Aug-20 12:02:56 PM</t>
  </si>
  <si>
    <t>2015-Aug-20 12:02:54 PM</t>
  </si>
  <si>
    <t>CollectorID</t>
  </si>
  <si>
    <t>SecondaryID</t>
  </si>
  <si>
    <t>Repeaters_DailyActual</t>
  </si>
  <si>
    <t>Repeaters_DailyManaged</t>
  </si>
  <si>
    <t>Endpoints_DailyActual</t>
  </si>
  <si>
    <t>Endpoints_DailyManaged</t>
  </si>
  <si>
    <t>AvgNumEndpointsHurd</t>
  </si>
  <si>
    <t>Date</t>
  </si>
  <si>
    <t>2015-Aug-18</t>
  </si>
</sst>
</file>

<file path=xl/styles.xml><?xml version="1.0" encoding="utf-8"?>
<styleSheet xmlns="http://schemas.openxmlformats.org/spreadsheetml/2006/main">
  <fonts count="18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ExternalData_1" growShrinkType="overwriteClear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growShrinkType="overwriteClear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8"/>
  <dimension ref="A1:J20"/>
  <sheetViews>
    <sheetView tabSelected="1" workbookViewId="0">
      <selection activeCell="A21" sqref="A21"/>
    </sheetView>
  </sheetViews>
  <sheetFormatPr defaultRowHeight="12.75"/>
  <cols>
    <col min="1" max="1" width="13.85546875" bestFit="1" customWidth="1"/>
    <col min="2" max="2" width="14" bestFit="1" customWidth="1"/>
    <col min="3" max="3" width="13.140625" bestFit="1" customWidth="1"/>
    <col min="4" max="4" width="12.42578125" bestFit="1" customWidth="1"/>
    <col min="5" max="5" width="15.42578125" bestFit="1" customWidth="1"/>
    <col min="6" max="6" width="13.5703125" bestFit="1" customWidth="1"/>
    <col min="7" max="7" width="5.28515625" bestFit="1" customWidth="1"/>
    <col min="8" max="8" width="9.42578125" bestFit="1" customWidth="1"/>
    <col min="9" max="9" width="14.85546875" bestFit="1" customWidth="1"/>
    <col min="10" max="10" width="23" bestFit="1" customWidth="1"/>
  </cols>
  <sheetData>
    <row r="1" spans="1:10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0</v>
      </c>
      <c r="H1" t="s">
        <v>16</v>
      </c>
      <c r="I1" t="s">
        <v>17</v>
      </c>
      <c r="J1" t="s">
        <v>19</v>
      </c>
    </row>
    <row r="2" spans="1:10">
      <c r="A2">
        <v>1</v>
      </c>
      <c r="B2">
        <v>1</v>
      </c>
      <c r="C2">
        <v>-89.4</v>
      </c>
      <c r="D2">
        <f>C2-5.2</f>
        <v>-94.600000000000009</v>
      </c>
      <c r="E2">
        <v>8392878</v>
      </c>
      <c r="F2">
        <v>255</v>
      </c>
      <c r="G2">
        <v>0</v>
      </c>
      <c r="H2" t="b">
        <v>0</v>
      </c>
      <c r="I2" t="b">
        <v>1</v>
      </c>
      <c r="J2" t="s">
        <v>20</v>
      </c>
    </row>
    <row r="3" spans="1:10">
      <c r="A3">
        <v>1</v>
      </c>
      <c r="B3">
        <v>2</v>
      </c>
      <c r="C3">
        <v>-81.900000000000006</v>
      </c>
      <c r="D3">
        <f t="shared" ref="D3:D18" si="0">C3-5.2</f>
        <v>-87.100000000000009</v>
      </c>
      <c r="E3">
        <v>16777215</v>
      </c>
      <c r="F3">
        <v>255</v>
      </c>
      <c r="G3">
        <v>0</v>
      </c>
      <c r="H3" t="b">
        <v>0</v>
      </c>
      <c r="I3" t="b">
        <v>1</v>
      </c>
      <c r="J3" t="s">
        <v>21</v>
      </c>
    </row>
    <row r="4" spans="1:10">
      <c r="A4">
        <v>1</v>
      </c>
      <c r="B4">
        <v>3</v>
      </c>
      <c r="C4">
        <v>-79.2</v>
      </c>
      <c r="D4">
        <f t="shared" si="0"/>
        <v>-84.4</v>
      </c>
      <c r="E4">
        <v>16777215</v>
      </c>
      <c r="F4">
        <v>255</v>
      </c>
      <c r="G4">
        <v>0</v>
      </c>
      <c r="H4" t="b">
        <v>0</v>
      </c>
      <c r="I4" t="b">
        <v>1</v>
      </c>
      <c r="J4" t="s">
        <v>21</v>
      </c>
    </row>
    <row r="5" spans="1:10">
      <c r="A5">
        <v>1</v>
      </c>
      <c r="B5">
        <v>4</v>
      </c>
      <c r="C5">
        <v>-79.8</v>
      </c>
      <c r="D5">
        <f t="shared" si="0"/>
        <v>-85</v>
      </c>
      <c r="E5">
        <v>16777215</v>
      </c>
      <c r="F5">
        <v>255</v>
      </c>
      <c r="G5">
        <v>0</v>
      </c>
      <c r="H5" t="b">
        <v>0</v>
      </c>
      <c r="I5" t="b">
        <v>1</v>
      </c>
      <c r="J5" t="s">
        <v>20</v>
      </c>
    </row>
    <row r="6" spans="1:10">
      <c r="A6">
        <v>1</v>
      </c>
      <c r="B6">
        <v>5</v>
      </c>
      <c r="C6">
        <v>-72.5</v>
      </c>
      <c r="D6">
        <f t="shared" si="0"/>
        <v>-77.7</v>
      </c>
      <c r="E6">
        <v>16777215</v>
      </c>
      <c r="F6">
        <v>255</v>
      </c>
      <c r="G6">
        <v>0</v>
      </c>
      <c r="H6" t="b">
        <v>0</v>
      </c>
      <c r="I6" t="b">
        <v>1</v>
      </c>
      <c r="J6" t="s">
        <v>21</v>
      </c>
    </row>
    <row r="7" spans="1:10">
      <c r="A7">
        <v>1</v>
      </c>
      <c r="B7">
        <v>7</v>
      </c>
      <c r="C7">
        <v>-88.5</v>
      </c>
      <c r="D7">
        <f t="shared" si="0"/>
        <v>-93.7</v>
      </c>
      <c r="E7">
        <v>16777215</v>
      </c>
      <c r="F7">
        <v>96</v>
      </c>
      <c r="G7">
        <v>2</v>
      </c>
      <c r="H7" t="b">
        <v>0</v>
      </c>
      <c r="I7" t="b">
        <v>0</v>
      </c>
      <c r="J7" t="s">
        <v>22</v>
      </c>
    </row>
    <row r="8" spans="1:10">
      <c r="A8">
        <v>1</v>
      </c>
      <c r="B8">
        <v>9</v>
      </c>
      <c r="C8">
        <v>-90.6</v>
      </c>
      <c r="D8">
        <f t="shared" si="0"/>
        <v>-95.8</v>
      </c>
      <c r="E8">
        <v>16777215</v>
      </c>
      <c r="F8">
        <v>88</v>
      </c>
      <c r="G8">
        <v>1</v>
      </c>
      <c r="H8" t="b">
        <v>0</v>
      </c>
      <c r="I8" t="b">
        <v>0</v>
      </c>
      <c r="J8" t="s">
        <v>22</v>
      </c>
    </row>
    <row r="9" spans="1:10">
      <c r="A9">
        <v>1</v>
      </c>
      <c r="B9">
        <v>10</v>
      </c>
      <c r="C9">
        <v>-65.099999999999994</v>
      </c>
      <c r="D9">
        <f t="shared" si="0"/>
        <v>-70.3</v>
      </c>
      <c r="E9">
        <v>16777215</v>
      </c>
      <c r="F9">
        <v>125</v>
      </c>
      <c r="G9">
        <v>2</v>
      </c>
      <c r="H9" t="b">
        <v>0</v>
      </c>
      <c r="I9" t="b">
        <v>0</v>
      </c>
      <c r="J9" t="s">
        <v>22</v>
      </c>
    </row>
    <row r="10" spans="1:10">
      <c r="A10">
        <v>1</v>
      </c>
      <c r="B10">
        <v>11</v>
      </c>
      <c r="C10">
        <v>-105</v>
      </c>
      <c r="D10">
        <f t="shared" si="0"/>
        <v>-110.2</v>
      </c>
      <c r="E10">
        <v>16776703</v>
      </c>
      <c r="F10">
        <v>96</v>
      </c>
      <c r="G10">
        <v>2</v>
      </c>
      <c r="H10" t="b">
        <v>0</v>
      </c>
      <c r="I10" t="b">
        <v>0</v>
      </c>
      <c r="J10" t="s">
        <v>22</v>
      </c>
    </row>
    <row r="11" spans="1:10">
      <c r="A11">
        <v>3</v>
      </c>
      <c r="B11">
        <v>6</v>
      </c>
      <c r="C11">
        <v>-98.9</v>
      </c>
      <c r="D11">
        <f t="shared" si="0"/>
        <v>-104.10000000000001</v>
      </c>
      <c r="E11">
        <v>16777215</v>
      </c>
      <c r="F11">
        <v>255</v>
      </c>
      <c r="G11">
        <v>0</v>
      </c>
      <c r="H11" t="b">
        <v>0</v>
      </c>
      <c r="I11" t="b">
        <v>1</v>
      </c>
      <c r="J11" t="s">
        <v>20</v>
      </c>
    </row>
    <row r="12" spans="1:10">
      <c r="A12">
        <v>3</v>
      </c>
      <c r="B12">
        <v>7</v>
      </c>
      <c r="C12">
        <v>-85.5</v>
      </c>
      <c r="D12">
        <f t="shared" si="0"/>
        <v>-90.7</v>
      </c>
      <c r="E12">
        <v>16777215</v>
      </c>
      <c r="F12">
        <v>255</v>
      </c>
      <c r="G12">
        <v>0</v>
      </c>
      <c r="H12" t="b">
        <v>0</v>
      </c>
      <c r="I12" t="b">
        <v>1</v>
      </c>
      <c r="J12" t="s">
        <v>21</v>
      </c>
    </row>
    <row r="13" spans="1:10">
      <c r="A13">
        <v>3</v>
      </c>
      <c r="B13">
        <v>8</v>
      </c>
      <c r="C13">
        <v>-95.3</v>
      </c>
      <c r="D13">
        <f t="shared" si="0"/>
        <v>-100.5</v>
      </c>
      <c r="E13">
        <v>16777215</v>
      </c>
      <c r="F13">
        <v>255</v>
      </c>
      <c r="G13">
        <v>0</v>
      </c>
      <c r="H13" t="b">
        <v>0</v>
      </c>
      <c r="I13" t="b">
        <v>1</v>
      </c>
      <c r="J13" t="s">
        <v>21</v>
      </c>
    </row>
    <row r="14" spans="1:10">
      <c r="A14">
        <v>3</v>
      </c>
      <c r="B14">
        <v>9</v>
      </c>
      <c r="C14">
        <v>-92.1</v>
      </c>
      <c r="D14">
        <f t="shared" si="0"/>
        <v>-97.3</v>
      </c>
      <c r="E14">
        <v>16777215</v>
      </c>
      <c r="F14">
        <v>255</v>
      </c>
      <c r="G14">
        <v>0</v>
      </c>
      <c r="H14" t="b">
        <v>0</v>
      </c>
      <c r="I14" t="b">
        <v>1</v>
      </c>
      <c r="J14" t="s">
        <v>21</v>
      </c>
    </row>
    <row r="15" spans="1:10">
      <c r="A15">
        <v>3</v>
      </c>
      <c r="B15">
        <v>2</v>
      </c>
      <c r="C15">
        <v>-110.8</v>
      </c>
      <c r="D15">
        <f>C15-3.4</f>
        <v>-114.2</v>
      </c>
      <c r="E15">
        <v>16777215</v>
      </c>
      <c r="F15">
        <v>222</v>
      </c>
      <c r="G15">
        <v>2</v>
      </c>
      <c r="H15" t="b">
        <v>0</v>
      </c>
      <c r="I15" t="b">
        <v>0</v>
      </c>
      <c r="J15" t="s">
        <v>22</v>
      </c>
    </row>
    <row r="16" spans="1:10">
      <c r="A16">
        <v>3</v>
      </c>
      <c r="B16">
        <v>1</v>
      </c>
      <c r="C16">
        <v>-110.2</v>
      </c>
      <c r="D16">
        <f>C16-3.4</f>
        <v>-113.60000000000001</v>
      </c>
      <c r="E16">
        <v>16777215</v>
      </c>
      <c r="F16">
        <v>186</v>
      </c>
      <c r="G16">
        <v>1</v>
      </c>
      <c r="H16" t="b">
        <v>0</v>
      </c>
      <c r="I16" t="b">
        <v>0</v>
      </c>
      <c r="J16" t="s">
        <v>22</v>
      </c>
    </row>
    <row r="17" spans="1:10">
      <c r="A17">
        <v>2</v>
      </c>
      <c r="B17">
        <v>10</v>
      </c>
      <c r="C17">
        <v>-87</v>
      </c>
      <c r="D17">
        <f t="shared" si="0"/>
        <v>-92.2</v>
      </c>
      <c r="E17">
        <v>16777215</v>
      </c>
      <c r="F17">
        <v>255</v>
      </c>
      <c r="G17">
        <v>0</v>
      </c>
      <c r="H17" t="b">
        <v>0</v>
      </c>
      <c r="I17" t="b">
        <v>1</v>
      </c>
      <c r="J17" t="s">
        <v>22</v>
      </c>
    </row>
    <row r="18" spans="1:10">
      <c r="A18">
        <v>2</v>
      </c>
      <c r="B18">
        <v>11</v>
      </c>
      <c r="C18">
        <v>-86.1</v>
      </c>
      <c r="D18">
        <f t="shared" si="0"/>
        <v>-91.3</v>
      </c>
      <c r="E18">
        <v>16777215</v>
      </c>
      <c r="F18">
        <v>255</v>
      </c>
      <c r="G18">
        <v>0</v>
      </c>
      <c r="H18" t="b">
        <v>0</v>
      </c>
      <c r="I18" t="b">
        <v>1</v>
      </c>
      <c r="J18" t="s">
        <v>22</v>
      </c>
    </row>
    <row r="19" spans="1:10">
      <c r="A19">
        <v>2</v>
      </c>
      <c r="B19">
        <v>12</v>
      </c>
      <c r="C19">
        <v>-94.4</v>
      </c>
      <c r="D19">
        <v>-97.5</v>
      </c>
      <c r="E19">
        <v>16777215</v>
      </c>
      <c r="F19">
        <v>255</v>
      </c>
      <c r="G19">
        <v>0</v>
      </c>
      <c r="H19" t="b">
        <v>0</v>
      </c>
      <c r="I19" t="b">
        <v>1</v>
      </c>
      <c r="J19" t="s">
        <v>22</v>
      </c>
    </row>
    <row r="20" spans="1:10">
      <c r="A20">
        <v>2</v>
      </c>
      <c r="B20">
        <v>3</v>
      </c>
      <c r="C20">
        <v>-91.2</v>
      </c>
      <c r="D20">
        <v>-93.8</v>
      </c>
      <c r="E20">
        <v>16777215</v>
      </c>
      <c r="F20">
        <v>198</v>
      </c>
      <c r="G20">
        <v>1</v>
      </c>
      <c r="H20" t="b">
        <v>0</v>
      </c>
      <c r="I20" t="b">
        <v>0</v>
      </c>
      <c r="J20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7"/>
  <dimension ref="A1:I13"/>
  <sheetViews>
    <sheetView workbookViewId="0">
      <selection activeCell="A14" sqref="A14"/>
    </sheetView>
  </sheetViews>
  <sheetFormatPr defaultRowHeight="12.75"/>
  <cols>
    <col min="1" max="1" width="13.85546875" bestFit="1" customWidth="1"/>
    <col min="2" max="2" width="9.85546875" bestFit="1" customWidth="1"/>
    <col min="3" max="3" width="12" bestFit="1" customWidth="1"/>
    <col min="4" max="4" width="12.5703125" bestFit="1" customWidth="1"/>
    <col min="5" max="5" width="6" bestFit="1" customWidth="1"/>
    <col min="6" max="6" width="10.42578125" bestFit="1" customWidth="1"/>
    <col min="7" max="7" width="12.7109375" bestFit="1" customWidth="1"/>
    <col min="8" max="8" width="12.140625" bestFit="1" customWidth="1"/>
    <col min="9" max="9" width="11.5703125" bestFit="1" customWidth="1"/>
  </cols>
  <sheetData>
    <row r="1" spans="1:9">
      <c r="A1" t="s">
        <v>5</v>
      </c>
      <c r="B1" t="s">
        <v>4</v>
      </c>
      <c r="C1" t="s">
        <v>1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9</v>
      </c>
    </row>
    <row r="2" spans="1:9">
      <c r="A2">
        <v>1</v>
      </c>
      <c r="B2">
        <v>2</v>
      </c>
      <c r="C2">
        <v>43.73583</v>
      </c>
      <c r="D2">
        <v>-79.566010000000006</v>
      </c>
      <c r="E2" t="b">
        <v>1</v>
      </c>
      <c r="F2">
        <v>3390</v>
      </c>
      <c r="G2">
        <v>878</v>
      </c>
      <c r="H2">
        <v>0</v>
      </c>
      <c r="I2" t="s">
        <v>18</v>
      </c>
    </row>
    <row r="3" spans="1:9">
      <c r="A3">
        <v>2</v>
      </c>
      <c r="B3">
        <v>3</v>
      </c>
      <c r="C3">
        <v>43.652422999999999</v>
      </c>
      <c r="D3">
        <v>-79.530304000000001</v>
      </c>
      <c r="E3" t="b">
        <v>1</v>
      </c>
      <c r="F3">
        <v>5488</v>
      </c>
      <c r="G3">
        <v>2730</v>
      </c>
      <c r="H3">
        <v>0</v>
      </c>
      <c r="I3" t="s">
        <v>18</v>
      </c>
    </row>
    <row r="4" spans="1:9">
      <c r="A4">
        <v>3</v>
      </c>
      <c r="B4">
        <v>11</v>
      </c>
      <c r="C4">
        <v>43.78443</v>
      </c>
      <c r="D4">
        <v>-79.435547</v>
      </c>
      <c r="E4" t="b">
        <v>1</v>
      </c>
      <c r="F4">
        <v>1731</v>
      </c>
      <c r="G4">
        <v>744</v>
      </c>
      <c r="H4">
        <v>0</v>
      </c>
      <c r="I4" t="s">
        <v>18</v>
      </c>
    </row>
    <row r="5" spans="1:9">
      <c r="A5">
        <v>4</v>
      </c>
      <c r="B5">
        <v>12</v>
      </c>
      <c r="C5">
        <v>43.810201999999997</v>
      </c>
      <c r="D5">
        <v>-79.300963999999993</v>
      </c>
      <c r="E5" t="b">
        <v>1</v>
      </c>
      <c r="F5">
        <v>2796</v>
      </c>
      <c r="G5">
        <v>463</v>
      </c>
      <c r="H5">
        <v>0</v>
      </c>
      <c r="I5" t="s">
        <v>18</v>
      </c>
    </row>
    <row r="6" spans="1:9">
      <c r="A6">
        <v>5</v>
      </c>
      <c r="B6">
        <v>13</v>
      </c>
      <c r="C6">
        <v>43.729875999999997</v>
      </c>
      <c r="D6">
        <v>-79.284485000000004</v>
      </c>
      <c r="E6" t="b">
        <v>1</v>
      </c>
      <c r="F6">
        <v>4967</v>
      </c>
      <c r="G6">
        <v>2268</v>
      </c>
      <c r="H6">
        <v>0</v>
      </c>
      <c r="I6" t="s">
        <v>18</v>
      </c>
    </row>
    <row r="7" spans="1:9">
      <c r="A7">
        <v>6</v>
      </c>
      <c r="B7">
        <v>14</v>
      </c>
      <c r="C7">
        <v>43.526099000000002</v>
      </c>
      <c r="D7">
        <v>-79.682738999999998</v>
      </c>
      <c r="E7" t="b">
        <v>1</v>
      </c>
      <c r="F7">
        <v>4372</v>
      </c>
      <c r="G7">
        <v>1664</v>
      </c>
      <c r="H7">
        <v>0</v>
      </c>
      <c r="I7" t="s">
        <v>18</v>
      </c>
    </row>
    <row r="8" spans="1:9">
      <c r="A8">
        <v>7</v>
      </c>
      <c r="B8">
        <v>15</v>
      </c>
      <c r="C8">
        <v>43.601725999999999</v>
      </c>
      <c r="D8">
        <v>-79.608581999999998</v>
      </c>
      <c r="E8" t="b">
        <v>1</v>
      </c>
      <c r="F8">
        <v>14381</v>
      </c>
      <c r="G8">
        <v>2038</v>
      </c>
      <c r="H8">
        <v>0</v>
      </c>
      <c r="I8" t="s">
        <v>18</v>
      </c>
    </row>
    <row r="9" spans="1:9">
      <c r="A9">
        <v>8</v>
      </c>
      <c r="B9">
        <v>17</v>
      </c>
      <c r="C9">
        <v>43.657390999999997</v>
      </c>
      <c r="D9">
        <v>-79.740418000000005</v>
      </c>
      <c r="E9" t="b">
        <v>1</v>
      </c>
      <c r="F9">
        <v>130</v>
      </c>
      <c r="G9">
        <v>97</v>
      </c>
      <c r="H9">
        <v>0</v>
      </c>
      <c r="I9" t="s">
        <v>18</v>
      </c>
    </row>
    <row r="10" spans="1:9">
      <c r="A10">
        <v>9</v>
      </c>
      <c r="B10">
        <v>18</v>
      </c>
      <c r="C10">
        <v>43.640498000000001</v>
      </c>
      <c r="D10">
        <v>-79.663512999999995</v>
      </c>
      <c r="E10" t="b">
        <v>1</v>
      </c>
      <c r="F10">
        <v>102</v>
      </c>
      <c r="G10">
        <v>46</v>
      </c>
      <c r="H10">
        <v>0</v>
      </c>
      <c r="I10" t="s">
        <v>18</v>
      </c>
    </row>
    <row r="11" spans="1:9">
      <c r="A11">
        <v>10</v>
      </c>
      <c r="B11">
        <v>22</v>
      </c>
      <c r="C11">
        <v>43.833981999999999</v>
      </c>
      <c r="D11">
        <v>-79.546784000000002</v>
      </c>
      <c r="E11" t="b">
        <v>1</v>
      </c>
      <c r="F11">
        <f>F10+F7</f>
        <v>4474</v>
      </c>
      <c r="G11">
        <f>G10+G7</f>
        <v>1710</v>
      </c>
      <c r="H11">
        <v>0</v>
      </c>
      <c r="I11" t="s">
        <v>18</v>
      </c>
    </row>
    <row r="12" spans="1:9">
      <c r="A12">
        <v>11</v>
      </c>
      <c r="B12">
        <v>34</v>
      </c>
      <c r="C12">
        <v>43.865673999999999</v>
      </c>
      <c r="D12">
        <v>-79.410827999999995</v>
      </c>
      <c r="E12" t="b">
        <v>1</v>
      </c>
      <c r="F12">
        <f>F10+F9</f>
        <v>232</v>
      </c>
      <c r="G12">
        <f>G10+G9</f>
        <v>143</v>
      </c>
      <c r="H12">
        <v>0</v>
      </c>
      <c r="I12" t="s">
        <v>18</v>
      </c>
    </row>
    <row r="13" spans="1:9">
      <c r="A13">
        <v>12</v>
      </c>
      <c r="B13">
        <v>4</v>
      </c>
      <c r="C13">
        <v>43.884481999999998</v>
      </c>
      <c r="D13">
        <v>-79.277619000000001</v>
      </c>
      <c r="E13" t="b">
        <v>1</v>
      </c>
      <c r="F13">
        <v>456</v>
      </c>
      <c r="G13">
        <v>256</v>
      </c>
      <c r="H13">
        <v>0</v>
      </c>
      <c r="I13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6"/>
  <dimension ref="A1:J4"/>
  <sheetViews>
    <sheetView workbookViewId="0">
      <selection activeCell="E17" sqref="E17"/>
    </sheetView>
  </sheetViews>
  <sheetFormatPr defaultRowHeight="12.75"/>
  <cols>
    <col min="1" max="1" width="10" bestFit="1" customWidth="1"/>
    <col min="2" max="2" width="11.5703125" bestFit="1" customWidth="1"/>
    <col min="3" max="3" width="12" bestFit="1" customWidth="1"/>
    <col min="4" max="4" width="12.5703125" bestFit="1" customWidth="1"/>
    <col min="5" max="5" width="20.140625" bestFit="1" customWidth="1"/>
    <col min="6" max="6" width="22.5703125" bestFit="1" customWidth="1"/>
    <col min="7" max="7" width="20" bestFit="1" customWidth="1"/>
    <col min="8" max="8" width="22.42578125" bestFit="1" customWidth="1"/>
    <col min="9" max="9" width="20.28515625" bestFit="1" customWidth="1"/>
    <col min="10" max="10" width="11.42578125" bestFit="1" customWidth="1"/>
  </cols>
  <sheetData>
    <row r="1" spans="1:10">
      <c r="A1" t="s">
        <v>23</v>
      </c>
      <c r="B1" t="s">
        <v>24</v>
      </c>
      <c r="C1" t="s">
        <v>1</v>
      </c>
      <c r="D1" t="s">
        <v>2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</row>
    <row r="2" spans="1:10">
      <c r="A2">
        <v>1</v>
      </c>
      <c r="B2">
        <v>1</v>
      </c>
      <c r="C2">
        <v>43.690168999999997</v>
      </c>
      <c r="D2">
        <v>-79.420440999999997</v>
      </c>
      <c r="E2">
        <v>50</v>
      </c>
      <c r="F2">
        <v>13</v>
      </c>
      <c r="G2">
        <v>133633</v>
      </c>
      <c r="H2">
        <v>7913</v>
      </c>
      <c r="I2">
        <v>140488.87</v>
      </c>
      <c r="J2" t="s">
        <v>31</v>
      </c>
    </row>
    <row r="3" spans="1:10">
      <c r="A3">
        <v>2</v>
      </c>
      <c r="B3">
        <v>2</v>
      </c>
      <c r="C3">
        <v>43.888441</v>
      </c>
      <c r="D3">
        <v>-79.471253000000004</v>
      </c>
      <c r="E3">
        <v>13</v>
      </c>
      <c r="F3">
        <v>3</v>
      </c>
      <c r="G3">
        <v>47402</v>
      </c>
      <c r="H3">
        <v>1428</v>
      </c>
      <c r="I3">
        <v>51404.57</v>
      </c>
      <c r="J3" t="s">
        <v>31</v>
      </c>
    </row>
    <row r="4" spans="1:10">
      <c r="A4">
        <v>3</v>
      </c>
      <c r="B4">
        <v>4</v>
      </c>
      <c r="C4">
        <v>43.585811999999997</v>
      </c>
      <c r="D4">
        <v>-79.721192000000002</v>
      </c>
      <c r="E4">
        <v>7</v>
      </c>
      <c r="F4">
        <v>1</v>
      </c>
      <c r="G4">
        <v>27601</v>
      </c>
      <c r="H4">
        <v>3163</v>
      </c>
      <c r="I4">
        <v>26306.53</v>
      </c>
      <c r="J4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Col-Rep Assoc</vt:lpstr>
      <vt:lpstr>Repeaters</vt:lpstr>
      <vt:lpstr>Collectors</vt:lpstr>
      <vt:lpstr>Collectors!ExternalData_1</vt:lpstr>
      <vt:lpstr>'Col-Rep Assoc'!ExternalData_1</vt:lpstr>
      <vt:lpstr>Repeaters!ExternalData_1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Terrade, David</dc:creator>
  <cp:lastModifiedBy>terradeda</cp:lastModifiedBy>
  <dcterms:created xsi:type="dcterms:W3CDTF">2015-08-19T15:20:23Z</dcterms:created>
  <dcterms:modified xsi:type="dcterms:W3CDTF">2015-09-04T20:05:39Z</dcterms:modified>
</cp:coreProperties>
</file>